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KILL\New folder\"/>
    </mc:Choice>
  </mc:AlternateContent>
  <xr:revisionPtr revIDLastSave="0" documentId="13_ncr:1_{81EC85BE-34DB-4078-ABD0-B840D1576E40}" xr6:coauthVersionLast="47" xr6:coauthVersionMax="47" xr10:uidLastSave="{00000000-0000-0000-0000-000000000000}"/>
  <bookViews>
    <workbookView xWindow="-108" yWindow="-108" windowWidth="23256" windowHeight="12456" activeTab="1" xr2:uid="{B9DCE7C9-4B63-46F2-A082-08A611878E3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E16" i="1"/>
  <c r="C16" i="1"/>
  <c r="D15" i="1"/>
  <c r="E15" i="1"/>
  <c r="D14" i="1"/>
  <c r="E14" i="1"/>
  <c r="C15" i="1"/>
  <c r="C14" i="1"/>
  <c r="D13" i="1"/>
  <c r="E13" i="1"/>
  <c r="C13" i="1"/>
  <c r="E12" i="1"/>
  <c r="D12" i="1"/>
  <c r="C12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<sst xmlns="http://schemas.openxmlformats.org/spreadsheetml/2006/main" count="23" uniqueCount="23">
  <si>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</si>
  <si>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</si>
  <si>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</si>
  <si>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</si>
  <si>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</si>
  <si>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</si>
  <si>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</si>
  <si>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</si>
  <si>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</si>
  <si>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</si>
  <si>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Employee ID</t>
  </si>
  <si>
    <t>Name</t>
  </si>
  <si>
    <t>Hourly Wage</t>
  </si>
  <si>
    <t>Taxable Income</t>
  </si>
  <si>
    <t>Hours Worked</t>
  </si>
  <si>
    <t xml:space="preserve"> Taxes to Be Paid</t>
  </si>
  <si>
    <t>Tax Rate:</t>
  </si>
  <si>
    <t>Totals:</t>
  </si>
  <si>
    <t>Average:</t>
  </si>
  <si>
    <t>Highest:</t>
  </si>
  <si>
    <t>Lowest:</t>
  </si>
  <si>
    <t>Number Of Employees:</t>
  </si>
  <si>
    <t>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</si>
</sst>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CFAA33-7DD5-45CF-92E2-6EFC50BDFCD3}" name="Table1" displayName="Table1" ref="A1:H15" totalsRowShown="0" headerRowDxfId="0">
  <autoFilter ref="A1:H15" xr:uid="{D1CFAA33-7DD5-45CF-92E2-6EFC50BDFCD3}"/>
  <tableColumns count="8">
    <tableColumn id="1" xr3:uid="{0C33B71D-90E5-4E8D-B990-E60C61DD4D85}" name="Employee ID"/>
    <tableColumn id="2" xr3:uid="{67E0E5C4-BBDE-48B7-8307-015E579E714A}" name="Name" dataDxfId="1"/>
    <tableColumn id="3" xr3:uid="{376B6786-8E76-4740-BBE2-7A8E643BB1B6}" name="Hourly Wage"/>
    <tableColumn id="4" xr3:uid="{1AD90331-DC70-434C-A3B8-120075268CC5}" name="Hours Worked"/>
    <tableColumn id="5" xr3:uid="{19A20EBC-916A-44F3-8956-101237339A35}" name="Taxable Income"/>
    <tableColumn id="6" xr3:uid="{3B998D12-15A0-4D10-9613-74EA661DF087}" name=" Taxes to Be Paid"/>
    <tableColumn id="7" xr3:uid="{2EE40596-ED0E-4948-89B5-F91B79DB71B0}" name="Tax Rate:"/>
    <tableColumn id="8" xr3:uid="{F06B928C-0B50-4B60-970A-DB36C2069767}" name="0.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DE26-F7E7-4ECC-8AF8-AC950A30B71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D6CE-F5B7-4091-8A56-B5DA40397F68}">
  <dimension ref="A1:H16"/>
  <sheetViews>
    <sheetView tabSelected="1" zoomScaleNormal="100" workbookViewId="0">
      <selection activeCell="D13" sqref="D13"/>
    </sheetView>
  </sheetViews>
  <sheetFormatPr defaultRowHeight="14.4" x14ac:dyDescent="0.3"/>
  <cols>
    <col min="1" max="1" width="15" customWidth="1"/>
    <col min="2" max="2" width="8.88671875" style="1" customWidth="1"/>
    <col min="3" max="3" width="15.33203125" customWidth="1"/>
    <col min="4" max="4" width="16.6640625" customWidth="1"/>
    <col min="5" max="5" width="17.77734375" customWidth="1"/>
    <col min="6" max="6" width="19.33203125" customWidth="1"/>
    <col min="7" max="7" width="12.44140625" customWidth="1"/>
  </cols>
  <sheetData>
    <row r="1" spans="1:8" s="3" customFormat="1" ht="15.6" x14ac:dyDescent="0.3">
      <c r="A1" s="3" t="s">
        <v>10</v>
      </c>
      <c r="B1" s="3" t="s">
        <v>11</v>
      </c>
      <c r="C1" s="3" t="s">
        <v>12</v>
      </c>
      <c r="D1" s="3" t="s">
        <v>14</v>
      </c>
      <c r="E1" s="3" t="s">
        <v>13</v>
      </c>
      <c r="F1" s="3" t="s">
        <v>15</v>
      </c>
      <c r="G1" s="3" t="s">
        <v>16</v>
      </c>
      <c r="H1" s="3" t="s">
        <v>22</v>
      </c>
    </row>
    <row r="2" spans="1:8" ht="16.2" customHeight="1" x14ac:dyDescent="0.3">
      <c r="A2">
        <v>1</v>
      </c>
      <c r="B2" s="1" t="s">
        <v>0</v>
      </c>
      <c r="C2">
        <v>13.9</v>
      </c>
      <c r="D2">
        <v>158</v>
      </c>
      <c r="E2">
        <f>C2*D2</f>
        <v>2196.2000000000003</v>
      </c>
      <c r="F2">
        <f>E2*$H$1</f>
        <v>1537.3400000000001</v>
      </c>
    </row>
    <row r="3" spans="1:8" x14ac:dyDescent="0.3">
      <c r="A3">
        <v>2</v>
      </c>
      <c r="B3" s="1" t="s">
        <v>1</v>
      </c>
      <c r="C3">
        <v>15.5</v>
      </c>
      <c r="D3">
        <v>160</v>
      </c>
      <c r="E3">
        <f t="shared" ref="E3:E11" si="0">C3*D3</f>
        <v>2480</v>
      </c>
    </row>
    <row r="4" spans="1:8" x14ac:dyDescent="0.3">
      <c r="A4">
        <v>3</v>
      </c>
      <c r="B4" s="1" t="s">
        <v>2</v>
      </c>
      <c r="C4">
        <v>16</v>
      </c>
      <c r="D4">
        <v>125</v>
      </c>
      <c r="E4">
        <f t="shared" si="0"/>
        <v>2000</v>
      </c>
    </row>
    <row r="5" spans="1:8" x14ac:dyDescent="0.3">
      <c r="A5">
        <v>4</v>
      </c>
      <c r="B5" s="1" t="s">
        <v>3</v>
      </c>
      <c r="C5">
        <v>13.75</v>
      </c>
      <c r="D5">
        <v>165</v>
      </c>
      <c r="E5">
        <f t="shared" si="0"/>
        <v>2268.75</v>
      </c>
    </row>
    <row r="6" spans="1:8" x14ac:dyDescent="0.3">
      <c r="A6">
        <v>5</v>
      </c>
      <c r="B6" s="1" t="s">
        <v>4</v>
      </c>
      <c r="C6">
        <v>15.5</v>
      </c>
      <c r="D6">
        <v>144</v>
      </c>
      <c r="E6">
        <f t="shared" si="0"/>
        <v>2232</v>
      </c>
    </row>
    <row r="7" spans="1:8" x14ac:dyDescent="0.3">
      <c r="A7">
        <v>6</v>
      </c>
      <c r="B7" s="1" t="s">
        <v>5</v>
      </c>
      <c r="C7">
        <v>17</v>
      </c>
      <c r="D7">
        <v>174</v>
      </c>
      <c r="E7">
        <f t="shared" si="0"/>
        <v>2958</v>
      </c>
    </row>
    <row r="8" spans="1:8" x14ac:dyDescent="0.3">
      <c r="A8">
        <v>7</v>
      </c>
      <c r="B8" s="1" t="s">
        <v>6</v>
      </c>
      <c r="C8">
        <v>13.75</v>
      </c>
      <c r="D8">
        <v>161</v>
      </c>
      <c r="E8">
        <f t="shared" si="0"/>
        <v>2213.75</v>
      </c>
    </row>
    <row r="9" spans="1:8" x14ac:dyDescent="0.3">
      <c r="A9">
        <v>8</v>
      </c>
      <c r="B9" s="1" t="s">
        <v>7</v>
      </c>
      <c r="C9">
        <v>15.15</v>
      </c>
      <c r="D9">
        <v>69</v>
      </c>
      <c r="E9">
        <f t="shared" si="0"/>
        <v>1045.3500000000001</v>
      </c>
    </row>
    <row r="10" spans="1:8" x14ac:dyDescent="0.3">
      <c r="A10">
        <v>9</v>
      </c>
      <c r="B10" s="1" t="s">
        <v>8</v>
      </c>
      <c r="C10">
        <v>10.75</v>
      </c>
      <c r="D10">
        <v>85</v>
      </c>
      <c r="E10">
        <f t="shared" si="0"/>
        <v>913.75</v>
      </c>
    </row>
    <row r="11" spans="1:8" x14ac:dyDescent="0.3">
      <c r="A11">
        <v>10</v>
      </c>
      <c r="B11" s="1" t="s">
        <v>9</v>
      </c>
      <c r="C11">
        <v>15.5</v>
      </c>
      <c r="D11">
        <v>117</v>
      </c>
      <c r="E11">
        <f t="shared" si="0"/>
        <v>1813.5</v>
      </c>
    </row>
    <row r="12" spans="1:8" x14ac:dyDescent="0.3">
      <c r="B12" s="2" t="s">
        <v>17</v>
      </c>
      <c r="C12">
        <f>SUM(C2:C11)</f>
        <v>146.80000000000001</v>
      </c>
      <c r="D12">
        <f>SUM(D2:D11)</f>
        <v>1358</v>
      </c>
      <c r="E12">
        <f>SUM(E2:E11)</f>
        <v>20121.3</v>
      </c>
    </row>
    <row r="13" spans="1:8" x14ac:dyDescent="0.3">
      <c r="B13" s="2" t="s">
        <v>18</v>
      </c>
      <c r="C13">
        <f>AVERAGE(C2:C11)</f>
        <v>14.680000000000001</v>
      </c>
      <c r="D13">
        <f t="shared" ref="D13:E13" si="1">AVERAGE(D2:D11)</f>
        <v>135.80000000000001</v>
      </c>
      <c r="E13">
        <f t="shared" si="1"/>
        <v>2012.1299999999999</v>
      </c>
    </row>
    <row r="14" spans="1:8" x14ac:dyDescent="0.3">
      <c r="B14" s="2" t="s">
        <v>19</v>
      </c>
      <c r="C14">
        <f>MAX(C2:C11)</f>
        <v>17</v>
      </c>
      <c r="D14">
        <f t="shared" ref="D14:E14" si="2">MAX(D2:D11)</f>
        <v>174</v>
      </c>
      <c r="E14">
        <f t="shared" si="2"/>
        <v>2958</v>
      </c>
    </row>
    <row r="15" spans="1:8" x14ac:dyDescent="0.3">
      <c r="B15" s="2" t="s">
        <v>20</v>
      </c>
      <c r="C15">
        <f>MIN(C2:C11)</f>
        <v>10.75</v>
      </c>
      <c r="D15">
        <f t="shared" ref="D15:E15" si="3">MIN(D2:D11)</f>
        <v>69</v>
      </c>
      <c r="E15">
        <f t="shared" si="3"/>
        <v>913.75</v>
      </c>
    </row>
    <row r="16" spans="1:8" x14ac:dyDescent="0.3">
      <c r="A16" t="s">
        <v>21</v>
      </c>
      <c r="C16">
        <f>COUNT(C2:C11)</f>
        <v>10</v>
      </c>
      <c r="D16">
        <f t="shared" ref="D16:E16" si="4">COUNT(D2:D11)</f>
        <v>10</v>
      </c>
      <c r="E16">
        <f t="shared" si="4"/>
        <v>10</v>
      </c>
    </row>
  </sheetData>
  <conditionalFormatting sqref="F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akansha kale</dc:creator>
  <cp:lastModifiedBy>akansha kale</cp:lastModifiedBy>
  <dcterms:created xsi:type="dcterms:W3CDTF">2026-01-12T12:42:52Z</dcterms:created>
  <dcterms:modified xsi:type="dcterms:W3CDTF">2026-01-12T17:04:06Z</dcterms:modified>
</cp:coreProperties>
</file>